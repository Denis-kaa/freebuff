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МОДЕЛЬНЫЙ пример, построен для демонстрации подхода к разбору legacy Excel/VBA логики прогноза/автозаказа. НЕ привязан к реальным данным ВкусВилла или иного ритейлера.</t>
        </is>
      </c>
    </row>
    <row r="3">
      <c r="A3" t="inlineStr">
        <is>
          <t>week</t>
        </is>
      </c>
      <c r="B3" t="inlineStr">
        <is>
          <t>date</t>
        </is>
      </c>
      <c r="C3" t="inlineStr">
        <is>
          <t>sku_name</t>
        </is>
      </c>
      <c r="D3" t="inlineStr">
        <is>
          <t>sales_qty</t>
        </is>
      </c>
    </row>
    <row r="4">
      <c r="A4" t="inlineStr">
        <is>
          <t>W1</t>
        </is>
      </c>
      <c r="B4" t="inlineStr">
        <is>
          <t>2025-06-02</t>
        </is>
      </c>
      <c r="C4" t="inlineStr">
        <is>
          <t>Молоко 3.2% 1л</t>
        </is>
      </c>
      <c r="D4" t="n">
        <v>270</v>
      </c>
    </row>
    <row r="5">
      <c r="A5" t="inlineStr">
        <is>
          <t>W2</t>
        </is>
      </c>
      <c r="B5" t="inlineStr">
        <is>
          <t>2025-06-09</t>
        </is>
      </c>
      <c r="C5" t="inlineStr">
        <is>
          <t>Молоко 3.2% 1л</t>
        </is>
      </c>
      <c r="D5" t="n">
        <v>271</v>
      </c>
    </row>
    <row r="6">
      <c r="A6" t="inlineStr">
        <is>
          <t>W3</t>
        </is>
      </c>
      <c r="B6" t="inlineStr">
        <is>
          <t>2025-06-16</t>
        </is>
      </c>
      <c r="C6" t="inlineStr">
        <is>
          <t>Молоко 3.2% 1л</t>
        </is>
      </c>
      <c r="D6" t="n">
        <v>272</v>
      </c>
    </row>
    <row r="7">
      <c r="A7" t="inlineStr">
        <is>
          <t>W4</t>
        </is>
      </c>
      <c r="B7" t="inlineStr">
        <is>
          <t>2025-06-23</t>
        </is>
      </c>
      <c r="C7" t="inlineStr">
        <is>
          <t>Молоко 3.2% 1л</t>
        </is>
      </c>
      <c r="D7" t="n">
        <v>274</v>
      </c>
    </row>
    <row r="8">
      <c r="A8" t="inlineStr">
        <is>
          <t>W5</t>
        </is>
      </c>
      <c r="B8" t="inlineStr">
        <is>
          <t>2025-06-30</t>
        </is>
      </c>
      <c r="C8" t="inlineStr">
        <is>
          <t>Молоко 3.2% 1л</t>
        </is>
      </c>
      <c r="D8" t="n">
        <v>275</v>
      </c>
    </row>
    <row r="9">
      <c r="A9" t="inlineStr">
        <is>
          <t>W6</t>
        </is>
      </c>
      <c r="B9" t="inlineStr">
        <is>
          <t>2025-07-07</t>
        </is>
      </c>
      <c r="C9" t="inlineStr">
        <is>
          <t>Молоко 3.2% 1л</t>
        </is>
      </c>
      <c r="D9" t="n">
        <v>276</v>
      </c>
    </row>
    <row r="10">
      <c r="A10" t="inlineStr">
        <is>
          <t>W7</t>
        </is>
      </c>
      <c r="B10" t="inlineStr">
        <is>
          <t>2025-07-14</t>
        </is>
      </c>
      <c r="C10" t="inlineStr">
        <is>
          <t>Молоко 3.2% 1л</t>
        </is>
      </c>
      <c r="D10" t="n">
        <v>278</v>
      </c>
    </row>
    <row r="11">
      <c r="A11" t="inlineStr">
        <is>
          <t>W8</t>
        </is>
      </c>
      <c r="B11" t="inlineStr">
        <is>
          <t>2025-07-21</t>
        </is>
      </c>
      <c r="C11" t="inlineStr">
        <is>
          <t>Молоко 3.2% 1л</t>
        </is>
      </c>
      <c r="D11" t="n">
        <v>279</v>
      </c>
    </row>
    <row r="12">
      <c r="A12" t="inlineStr">
        <is>
          <t>W9</t>
        </is>
      </c>
      <c r="B12" t="inlineStr">
        <is>
          <t>2025-07-28</t>
        </is>
      </c>
      <c r="C12" t="inlineStr">
        <is>
          <t>Молоко 3.2% 1л</t>
        </is>
      </c>
      <c r="D12" t="n">
        <v>280</v>
      </c>
    </row>
    <row r="13">
      <c r="A13" t="inlineStr">
        <is>
          <t>W10</t>
        </is>
      </c>
      <c r="B13" t="inlineStr">
        <is>
          <t>2025-08-04</t>
        </is>
      </c>
      <c r="C13" t="inlineStr">
        <is>
          <t>Молоко 3.2% 1л</t>
        </is>
      </c>
      <c r="D13" t="n">
        <v>282</v>
      </c>
    </row>
    <row r="14">
      <c r="A14" t="inlineStr">
        <is>
          <t>W11</t>
        </is>
      </c>
      <c r="B14" t="inlineStr">
        <is>
          <t>2025-08-11</t>
        </is>
      </c>
      <c r="C14" t="inlineStr">
        <is>
          <t>Молоко 3.2% 1л</t>
        </is>
      </c>
      <c r="D14" t="n">
        <v>283</v>
      </c>
    </row>
    <row r="15">
      <c r="A15" t="inlineStr">
        <is>
          <t>W12</t>
        </is>
      </c>
      <c r="B15" t="inlineStr">
        <is>
          <t>2025-08-18</t>
        </is>
      </c>
      <c r="C15" t="inlineStr">
        <is>
          <t>Молоко 3.2% 1л</t>
        </is>
      </c>
      <c r="D15" t="n">
        <v>284</v>
      </c>
    </row>
    <row r="17">
      <c r="A17" t="inlineStr">
        <is>
          <t>W1</t>
        </is>
      </c>
      <c r="B17" t="inlineStr">
        <is>
          <t>2025-06-02</t>
        </is>
      </c>
      <c r="C17" t="inlineStr">
        <is>
          <t>Крупа гречневая 800г</t>
        </is>
      </c>
      <c r="D17" t="n">
        <v>88</v>
      </c>
    </row>
    <row r="18">
      <c r="A18" t="inlineStr">
        <is>
          <t>W2</t>
        </is>
      </c>
      <c r="B18" t="inlineStr">
        <is>
          <t>2025-06-09</t>
        </is>
      </c>
      <c r="C18" t="inlineStr">
        <is>
          <t>Крупа гречневая 800г</t>
        </is>
      </c>
      <c r="D18" t="n">
        <v>89</v>
      </c>
    </row>
    <row r="19">
      <c r="A19" t="inlineStr">
        <is>
          <t>W3</t>
        </is>
      </c>
      <c r="B19" t="inlineStr">
        <is>
          <t>2025-06-16</t>
        </is>
      </c>
      <c r="C19" t="inlineStr">
        <is>
          <t>Крупа гречневая 800г</t>
        </is>
      </c>
      <c r="D19" t="n">
        <v>89</v>
      </c>
    </row>
    <row r="20">
      <c r="A20" t="inlineStr">
        <is>
          <t>W4</t>
        </is>
      </c>
      <c r="B20" t="inlineStr">
        <is>
          <t>2025-06-23</t>
        </is>
      </c>
      <c r="C20" t="inlineStr">
        <is>
          <t>Крупа гречневая 800г</t>
        </is>
      </c>
      <c r="D20" t="n">
        <v>90</v>
      </c>
    </row>
    <row r="21">
      <c r="A21" t="inlineStr">
        <is>
          <t>W5</t>
        </is>
      </c>
      <c r="B21" t="inlineStr">
        <is>
          <t>2025-06-30</t>
        </is>
      </c>
      <c r="C21" t="inlineStr">
        <is>
          <t>Крупа гречневая 800г</t>
        </is>
      </c>
      <c r="D21" t="n">
        <v>90</v>
      </c>
    </row>
    <row r="22">
      <c r="A22" t="inlineStr">
        <is>
          <t>W6</t>
        </is>
      </c>
      <c r="B22" t="inlineStr">
        <is>
          <t>2025-07-07</t>
        </is>
      </c>
      <c r="C22" t="inlineStr">
        <is>
          <t>Крупа гречневая 800г</t>
        </is>
      </c>
      <c r="D22" t="n">
        <v>90</v>
      </c>
    </row>
    <row r="23">
      <c r="A23" t="inlineStr">
        <is>
          <t>W7</t>
        </is>
      </c>
      <c r="B23" t="inlineStr">
        <is>
          <t>2025-07-14</t>
        </is>
      </c>
      <c r="C23" t="inlineStr">
        <is>
          <t>Крупа гречневая 800г</t>
        </is>
      </c>
      <c r="D23" t="n">
        <v>91</v>
      </c>
    </row>
    <row r="24">
      <c r="A24" t="inlineStr">
        <is>
          <t>W8</t>
        </is>
      </c>
      <c r="B24" t="inlineStr">
        <is>
          <t>2025-07-21</t>
        </is>
      </c>
      <c r="C24" t="inlineStr">
        <is>
          <t>Крупа гречневая 800г</t>
        </is>
      </c>
      <c r="D24" t="n">
        <v>91</v>
      </c>
    </row>
    <row r="25">
      <c r="A25" t="inlineStr">
        <is>
          <t>W9</t>
        </is>
      </c>
      <c r="B25" t="inlineStr">
        <is>
          <t>2025-07-28</t>
        </is>
      </c>
      <c r="C25" t="inlineStr">
        <is>
          <t>Крупа гречневая 800г</t>
        </is>
      </c>
      <c r="D25" t="n">
        <v>92</v>
      </c>
    </row>
    <row r="26">
      <c r="A26" t="inlineStr">
        <is>
          <t>W10</t>
        </is>
      </c>
      <c r="B26" t="inlineStr">
        <is>
          <t>2025-08-04</t>
        </is>
      </c>
      <c r="C26" t="inlineStr">
        <is>
          <t>Крупа гречневая 800г</t>
        </is>
      </c>
      <c r="D26" t="n">
        <v>92</v>
      </c>
    </row>
    <row r="27">
      <c r="A27" t="inlineStr">
        <is>
          <t>W11</t>
        </is>
      </c>
      <c r="B27" t="inlineStr">
        <is>
          <t>2025-08-11</t>
        </is>
      </c>
      <c r="C27" t="inlineStr">
        <is>
          <t>Крупа гречневая 800г</t>
        </is>
      </c>
      <c r="D27" t="n">
        <v>93</v>
      </c>
    </row>
    <row r="28">
      <c r="A28" t="inlineStr">
        <is>
          <t>W12</t>
        </is>
      </c>
      <c r="B28" t="inlineStr">
        <is>
          <t>2025-08-18</t>
        </is>
      </c>
      <c r="C28" t="inlineStr">
        <is>
          <t>Крупа гречневая 800г</t>
        </is>
      </c>
      <c r="D28" t="n">
        <v>93</v>
      </c>
    </row>
    <row r="30">
      <c r="A30" t="inlineStr">
        <is>
          <t>W1</t>
        </is>
      </c>
      <c r="B30" t="inlineStr">
        <is>
          <t>2025-06-02</t>
        </is>
      </c>
      <c r="C30" t="inlineStr">
        <is>
          <t>Напиток газир. 1л</t>
        </is>
      </c>
      <c r="D30" t="n">
        <v>139</v>
      </c>
    </row>
    <row r="31">
      <c r="A31" t="inlineStr">
        <is>
          <t>W2</t>
        </is>
      </c>
      <c r="B31" t="inlineStr">
        <is>
          <t>2025-06-09</t>
        </is>
      </c>
      <c r="C31" t="inlineStr">
        <is>
          <t>Напиток газир. 1л</t>
        </is>
      </c>
      <c r="D31" t="n">
        <v>139</v>
      </c>
    </row>
    <row r="32">
      <c r="A32" t="inlineStr">
        <is>
          <t>W3</t>
        </is>
      </c>
      <c r="B32" t="inlineStr">
        <is>
          <t>2025-06-16</t>
        </is>
      </c>
      <c r="C32" t="inlineStr">
        <is>
          <t>Напиток газир. 1л</t>
        </is>
      </c>
      <c r="D32" t="n">
        <v>140</v>
      </c>
    </row>
    <row r="33">
      <c r="A33" t="inlineStr">
        <is>
          <t>W4</t>
        </is>
      </c>
      <c r="B33" t="inlineStr">
        <is>
          <t>2025-06-23</t>
        </is>
      </c>
      <c r="C33" t="inlineStr">
        <is>
          <t>Напиток газир. 1л</t>
        </is>
      </c>
      <c r="D33" t="n">
        <v>141</v>
      </c>
    </row>
    <row r="34">
      <c r="A34" t="inlineStr">
        <is>
          <t>W5</t>
        </is>
      </c>
      <c r="B34" t="inlineStr">
        <is>
          <t>2025-06-30</t>
        </is>
      </c>
      <c r="C34" t="inlineStr">
        <is>
          <t>Напиток газир. 1л</t>
        </is>
      </c>
      <c r="D34" t="n">
        <v>141</v>
      </c>
    </row>
    <row r="35">
      <c r="A35" t="inlineStr">
        <is>
          <t>W6</t>
        </is>
      </c>
      <c r="B35" t="inlineStr">
        <is>
          <t>2025-07-07</t>
        </is>
      </c>
      <c r="C35" t="inlineStr">
        <is>
          <t>Напиток газир. 1л</t>
        </is>
      </c>
      <c r="D35" t="n">
        <v>142</v>
      </c>
    </row>
    <row r="36">
      <c r="A36" t="inlineStr">
        <is>
          <t>W7</t>
        </is>
      </c>
      <c r="B36" t="inlineStr">
        <is>
          <t>2025-07-14</t>
        </is>
      </c>
      <c r="C36" t="inlineStr">
        <is>
          <t>Напиток газир. 1л</t>
        </is>
      </c>
      <c r="D36" t="n">
        <v>143</v>
      </c>
    </row>
    <row r="37">
      <c r="A37" t="inlineStr">
        <is>
          <t>W8</t>
        </is>
      </c>
      <c r="B37" t="inlineStr">
        <is>
          <t>2025-07-21</t>
        </is>
      </c>
      <c r="C37" t="inlineStr">
        <is>
          <t>Напиток газир. 1л</t>
        </is>
      </c>
      <c r="D37" t="n">
        <v>143</v>
      </c>
    </row>
    <row r="38">
      <c r="A38" t="inlineStr">
        <is>
          <t>W9</t>
        </is>
      </c>
      <c r="B38" t="inlineStr">
        <is>
          <t>2025-07-28</t>
        </is>
      </c>
      <c r="C38" t="inlineStr">
        <is>
          <t>Напиток газир. 1л</t>
        </is>
      </c>
      <c r="D38" t="n">
        <v>144</v>
      </c>
    </row>
    <row r="39">
      <c r="A39" t="inlineStr">
        <is>
          <t>W10</t>
        </is>
      </c>
      <c r="B39" t="inlineStr">
        <is>
          <t>2025-08-04</t>
        </is>
      </c>
      <c r="C39" t="inlineStr">
        <is>
          <t>Напиток газир. 1л</t>
        </is>
      </c>
      <c r="D39" t="n">
        <v>145</v>
      </c>
    </row>
    <row r="40">
      <c r="A40" t="inlineStr">
        <is>
          <t>W11</t>
        </is>
      </c>
      <c r="B40" t="inlineStr">
        <is>
          <t>2025-08-11</t>
        </is>
      </c>
      <c r="C40" t="inlineStr">
        <is>
          <t>Напиток газир. 1л</t>
        </is>
      </c>
      <c r="D40" t="n">
        <v>146</v>
      </c>
    </row>
    <row r="41">
      <c r="A41" t="inlineStr">
        <is>
          <t>W12</t>
        </is>
      </c>
      <c r="B41" t="inlineStr">
        <is>
          <t>2025-08-18</t>
        </is>
      </c>
      <c r="C41" t="inlineStr">
        <is>
          <t>Напиток газир. 1л</t>
        </is>
      </c>
      <c r="D41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МОДЕЛЬНЫЙ пример, построен для демонстрации подхода к разбору legacy Excel/VBA логики прогноза/автозаказа. НЕ привязан к реальным данным ВкусВилла или иного ритейлера.</t>
        </is>
      </c>
    </row>
    <row r="3">
      <c r="A3" t="inlineStr">
        <is>
          <t>sku_name</t>
        </is>
      </c>
      <c r="B3" t="inlineStr">
        <is>
          <t>week</t>
        </is>
      </c>
      <c r="C3" t="inlineStr">
        <is>
          <t>forecast_sma4w</t>
        </is>
      </c>
      <c r="D3" t="inlineStr">
        <is>
          <t>weekday_factor</t>
        </is>
      </c>
      <c r="E3" t="inlineStr">
        <is>
          <t>safety_buffer</t>
        </is>
      </c>
      <c r="F3" t="inlineStr">
        <is>
          <t>shelf_correction</t>
        </is>
      </c>
      <c r="G3" t="inlineStr">
        <is>
          <t>final_forecast</t>
        </is>
      </c>
      <c r="H3" t="inlineStr">
        <is>
          <t>notes</t>
        </is>
      </c>
      <c r="J3" t="inlineStr">
        <is>
          <t>PARAM_LEGEND:</t>
        </is>
      </c>
    </row>
    <row r="4">
      <c r="A4" t="inlineStr">
        <is>
          <t>Молоко 3.2% 1л</t>
        </is>
      </c>
      <c r="B4" t="inlineStr">
        <is>
          <t>W13</t>
        </is>
      </c>
      <c r="C4">
        <f>AVERAGE('history'!D12:D15)</f>
        <v/>
      </c>
      <c r="D4" t="n">
        <v>1.4</v>
      </c>
      <c r="E4">
        <f>STDEV.P('history'!D12:D15)*1.65*SQRT(2)</f>
        <v/>
      </c>
      <c r="F4">
        <f>IF(7&lt;4.0,0.5,1.0)</f>
        <v/>
      </c>
      <c r="G4">
        <f>(C4*D4+E4)*F4</f>
        <v/>
      </c>
      <c r="H4" t="inlineStr">
        <is>
          <t>baseline</t>
        </is>
      </c>
      <c r="J4" t="inlineStr">
        <is>
          <t>SMA_WINDOW:</t>
        </is>
      </c>
      <c r="K4" t="n">
        <v>4</v>
      </c>
    </row>
    <row r="5">
      <c r="A5" t="inlineStr">
        <is>
          <t>Крупа гречневая 800г</t>
        </is>
      </c>
      <c r="B5" t="inlineStr">
        <is>
          <t>W13</t>
        </is>
      </c>
      <c r="C5">
        <f>AVERAGE('history'!D25:D28)</f>
        <v/>
      </c>
      <c r="D5" t="n">
        <v>1.1</v>
      </c>
      <c r="E5">
        <f>STDEV.P('history'!D25:D28)*1.65*SQRT(5)</f>
        <v/>
      </c>
      <c r="F5">
        <f>IF(365&lt;10.0,0.5,1.0)</f>
        <v/>
      </c>
      <c r="G5">
        <f>(C5*D5+E5)*F5</f>
        <v/>
      </c>
      <c r="H5" t="inlineStr">
        <is>
          <t>baseline</t>
        </is>
      </c>
      <c r="J5" t="inlineStr">
        <is>
          <t>SERVICE_LEVEL_Z:</t>
        </is>
      </c>
      <c r="K5" t="n">
        <v>1.65</v>
      </c>
    </row>
    <row r="6">
      <c r="A6" t="inlineStr">
        <is>
          <t>Напиток газир. 1л</t>
        </is>
      </c>
      <c r="B6" t="inlineStr">
        <is>
          <t>W13</t>
        </is>
      </c>
      <c r="C6">
        <f>AVERAGE('history'!D38:D41)</f>
        <v/>
      </c>
      <c r="D6" t="n">
        <v>1.5</v>
      </c>
      <c r="E6">
        <f>STDEV.P('history'!D38:D41)*1.65*SQRT(3)</f>
        <v/>
      </c>
      <c r="F6">
        <f>IF(90&lt;6.0,0.5,1.0)</f>
        <v/>
      </c>
      <c r="G6">
        <f>(C6*D6+E6)*F6</f>
        <v/>
      </c>
      <c r="H6" t="inlineStr">
        <is>
          <t>baseline</t>
        </is>
      </c>
      <c r="J6" t="inlineStr">
        <is>
          <t>LEAD_TIME_DEFAULT:</t>
        </is>
      </c>
      <c r="K6" t="n">
        <v>3</v>
      </c>
    </row>
    <row r="7">
      <c r="J7" t="inlineStr">
        <is>
          <t>NOTE: H22 содержит INCIDENT_2024_CORRECTION (cell-content proxy defined-name 'post_incident_2024_correction' — молочка получает -8% legacy-норматив после инцидента 2024).</t>
        </is>
      </c>
    </row>
    <row r="22">
      <c r="H22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МОДЕЛЬНЫЙ пример, построен для демонстрации подхода к разбору legacy Excel/VBA логики прогноза/автозаказа. НЕ привязан к реальным данным ВкусВилла или иного ритейлера.</t>
        </is>
      </c>
    </row>
    <row r="3">
      <c r="A3" t="inlineStr">
        <is>
          <t>sku_name</t>
        </is>
      </c>
      <c r="B3" t="inlineStr">
        <is>
          <t>final_forecast</t>
        </is>
      </c>
      <c r="C3" t="inlineStr">
        <is>
          <t>current_stock</t>
        </is>
      </c>
      <c r="D3" t="inlineStr">
        <is>
          <t>lead_time_demand</t>
        </is>
      </c>
      <c r="E3" t="inlineStr">
        <is>
          <t>order_qty</t>
        </is>
      </c>
      <c r="F3" t="inlineStr">
        <is>
          <t>notes</t>
        </is>
      </c>
    </row>
    <row r="4">
      <c r="A4" t="inlineStr">
        <is>
          <t>Молоко 3.2% 1л</t>
        </is>
      </c>
      <c r="B4">
        <f>'forecast'!G4</f>
        <v/>
      </c>
      <c r="C4" t="n">
        <v>10</v>
      </c>
      <c r="D4">
        <f>B4*2</f>
        <v/>
      </c>
      <c r="E4">
        <f>MAX(0,D4-C4+B4*0.1)*0.92</f>
        <v/>
      </c>
      <c r="F4" t="inlineStr">
        <is>
          <t>INCIDENT_2024_CORRECTION (-8%) применён</t>
        </is>
      </c>
    </row>
    <row r="5">
      <c r="A5" t="inlineStr">
        <is>
          <t>Крупа гречневая 800г</t>
        </is>
      </c>
      <c r="B5">
        <f>'forecast'!G5</f>
        <v/>
      </c>
      <c r="C5" t="n">
        <v>15</v>
      </c>
      <c r="D5">
        <f>B5*5</f>
        <v/>
      </c>
      <c r="E5">
        <f>MAX(0,D5-C5+B5*0.1)*1.0</f>
        <v/>
      </c>
      <c r="F5" t="inlineStr"/>
    </row>
    <row r="6">
      <c r="A6" t="inlineStr">
        <is>
          <t>Напиток газир. 1л</t>
        </is>
      </c>
      <c r="B6">
        <f>'forecast'!G6</f>
        <v/>
      </c>
      <c r="C6" t="n">
        <v>20</v>
      </c>
      <c r="D6">
        <f>B6*3</f>
        <v/>
      </c>
      <c r="E6">
        <f>MAX(0,D6-C6+B6*0.1)*1.0</f>
        <v/>
      </c>
      <c r="F6" t="inlineStr"/>
    </row>
    <row r="8">
      <c r="A8" s="1" t="inlineStr">
        <is>
          <t>TOTAL:</t>
        </is>
      </c>
      <c r="E8" s="1">
        <f>SUM(E4:E6)</f>
        <v/>
      </c>
      <c r="F8" t="inlineStr">
        <is>
          <t>total=1936.99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2026-08-09T01:58:54Z</dcterms:created>
  <dcterms:modified xmlns:dcterms="http://purl.org/dc/terms/" xmlns:xsi="http://www.w3.org/2001/XMLSchema-instance" xsi:type="dcterms:W3CDTF">2026-08-09T01:58:54Z</dcterms:modified>
</cp:coreProperties>
</file>